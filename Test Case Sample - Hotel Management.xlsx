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vunguyen/Google Drive/Data/Courses/FUV/2025/Templates/"/>
    </mc:Choice>
  </mc:AlternateContent>
  <xr:revisionPtr revIDLastSave="0" documentId="13_ncr:1_{94995931-C3B8-1A45-9CFB-64166F30D789}" xr6:coauthVersionLast="47" xr6:coauthVersionMax="47" xr10:uidLastSave="{00000000-0000-0000-0000-000000000000}"/>
  <bookViews>
    <workbookView xWindow="0" yWindow="0" windowWidth="31120" windowHeight="20900" xr2:uid="{00000000-000D-0000-FFFF-FFFF00000000}"/>
  </bookViews>
  <sheets>
    <sheet name="Test Case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7" i="2"/>
  <c r="C6" i="2"/>
  <c r="C5" i="2"/>
  <c r="H9" i="1"/>
  <c r="G9" i="1"/>
  <c r="C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tc={350D14E9-056D-2947-8E64-6D57421F2AEE}</author>
  </authors>
  <commentList>
    <comment ref="H3" authorId="0" shapeId="0" xr:uid="{350D14E9-056D-2947-8E64-6D57421F2AEE}">
      <text>
        <t xml:space="preserve">[Threaded comment]
Your version of Excel allows you to read this threaded comment; however, any edits to it will get removed if the file is opened in a newer version of Excel. Learn more: https://go.microsoft.com/fwlink/?linkid=870924
Comment:
    Passed, Failed, Pending
</t>
      </text>
    </comment>
  </commentList>
</comments>
</file>

<file path=xl/sharedStrings.xml><?xml version="1.0" encoding="utf-8"?>
<sst xmlns="http://schemas.openxmlformats.org/spreadsheetml/2006/main" count="46" uniqueCount="45">
  <si>
    <t>Hotel Management System — Test Cases</t>
  </si>
  <si>
    <t>Test Case ID</t>
  </si>
  <si>
    <t>Test Case Title</t>
  </si>
  <si>
    <t>Description</t>
  </si>
  <si>
    <t>Pre-conditions</t>
  </si>
  <si>
    <t>Test Steps</t>
  </si>
  <si>
    <t>Expected Result</t>
  </si>
  <si>
    <t>Status</t>
  </si>
  <si>
    <t>TC-001</t>
  </si>
  <si>
    <t>Guest Room Reservation</t>
  </si>
  <si>
    <t>Verify that a new guest can successfully book an available room for specified dates.</t>
  </si>
  <si>
    <t>System is running. At least one room is available. Guest is not yet registered.</t>
  </si>
  <si>
    <t>1. Navigate to Reservations module.
2. Click 'New Reservation'.
3. Enter guest name, contact, and ID.
4. Select check-in: 2026-04-20, check-out: 2026-04-23.
5. Choose Room Type: Deluxe Double.
6. Click 'Confirm Booking'.</t>
  </si>
  <si>
    <t>Reservation created with unique booking ID. Room status changes to 'Reserved'. Confirmation is displayed.</t>
  </si>
  <si>
    <t>TC-002</t>
  </si>
  <si>
    <t>Check-In Process</t>
  </si>
  <si>
    <t>Verify that front desk staff can successfully check in a guest with an existing reservation.</t>
  </si>
  <si>
    <t>A confirmed reservation exists for today's date. Guest arrives at reception.</t>
  </si>
  <si>
    <t>1. Open Check-In module.
2. Search by booking ID or guest name.
3. Verify guest identity.
4. Assign room key/card.
5. Click 'Check In'.
6. Print welcome slip.</t>
  </si>
  <si>
    <t>Room status updates to 'Occupied'. Guest record shows check-in timestamp. Key assignment is logged.</t>
  </si>
  <si>
    <t>TC-003</t>
  </si>
  <si>
    <t>Billing &amp; Invoice Generation</t>
  </si>
  <si>
    <t>Verify that a correct invoice is generated on check-out including all charges.</t>
  </si>
  <si>
    <t>Guest is checked in. Room service and mini-bar charges have been recorded.</t>
  </si>
  <si>
    <t>1. Navigate to Billing module.
2. Search for guest by room number.
3. Review itemized charges.
4. Apply loyalty discount if applicable.
5. Click 'Generate Invoice'.
6. Process credit card payment.
7. Click 'Check Out'.</t>
  </si>
  <si>
    <t>Invoice lists all charges correctly. Payment is processed. Room changes to 'Vacant/Dirty'. Receipt emailed to guest.</t>
  </si>
  <si>
    <t>TC-004</t>
  </si>
  <si>
    <t>Housekeeping Status Update</t>
  </si>
  <si>
    <t>Verify housekeeping staff can update room cleanliness status after servicing.</t>
  </si>
  <si>
    <t>At least one room is 'Vacant/Dirty'. Housekeeping account has correct permissions.</t>
  </si>
  <si>
    <t>1. Log in as Housekeeping staff.
2. Open Housekeeping module.
3. View assigned rooms list.
4. Select target room.
5. Mark room as 'Cleaned'.
6. Add optional notes.
7. Click 'Save Status'.</t>
  </si>
  <si>
    <t>Room status updates to 'Vacant/Clean'. Front desk dashboard reflects change immediately. Activity log records staff and timestamp.</t>
  </si>
  <si>
    <t>TC-005</t>
  </si>
  <si>
    <t>Duplicate Booking Prevention</t>
  </si>
  <si>
    <t>Verify the system prevents double-booking a room for overlapping dates.</t>
  </si>
  <si>
    <t>Room 101 is already reserved from 2026-04-25 to 2026-04-28.</t>
  </si>
  <si>
    <t>1. Navigate to Reservations module.
2. Click 'New Reservation'.
3. Enter a different guest's details.
4. Select Room 101.
5. Enter check-in: 2026-04-26, check-out: 2026-04-29 (overlapping).
6. Click 'Confirm Booking'.</t>
  </si>
  <si>
    <t>Error displayed: 'Room 101 is not available for selected dates.' Booking NOT created. User prompted to select different dates or room.</t>
  </si>
  <si>
    <t>Total Test Cases</t>
  </si>
  <si>
    <t>Test Execution Summary</t>
  </si>
  <si>
    <t>Passed</t>
  </si>
  <si>
    <t>Failed</t>
  </si>
  <si>
    <t>Pending</t>
  </si>
  <si>
    <t>Pass Rate</t>
  </si>
  <si>
    <t>Date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</si>
</sst>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6"/>
      <color rgb="FFFFFFFF"/>
      <name val="Arial"/>
      <family val="2"/>
    </font>
    <font>
      <b/>
      <sz val="11"/>
      <color rgb="FFFFFFFF"/>
      <name val="Arial"/>
      <family val="2"/>
    </font>
    <font>
      <sz val="10"/>
      <color rgb="FF1A1A1A"/>
      <name val="Arial"/>
      <family val="2"/>
    </font>
    <font>
      <b/>
      <sz val="10"/>
      <color rgb="FF2E74B5"/>
      <name val="Arial"/>
      <family val="2"/>
    </font>
    <font>
      <b/>
      <sz val="10"/>
      <color rgb="FFC00000"/>
      <name val="Arial"/>
      <family val="2"/>
    </font>
    <font>
      <b/>
      <sz val="10"/>
      <color rgb="FFFFFFFF"/>
      <name val="Arial"/>
      <family val="2"/>
    </font>
    <font>
      <b/>
      <sz val="10"/>
      <color rgb="FFED7D31"/>
      <name val="Arial"/>
      <family val="2"/>
    </font>
    <font>
      <b/>
      <sz val="14"/>
      <color rgb="FFFFFFFF"/>
      <name val="Arial"/>
      <family val="2"/>
    </font>
    <font>
      <b/>
      <sz val="11"/>
      <color rgb="FF1A1A1A"/>
      <name val="Arial"/>
      <family val="2"/>
    </font>
    <font>
      <sz val="10"/>
      <color rgb="FF000000"/>
      <name val="Tahoma"/>
      <family val="2"/>
    </font>
  </fonts>
  <fills count="10">
    <fill>
      <patternFill patternType="none"/>
    </fill>
    <fill>
      <patternFill patternType="gray125"/>
    </fill>
    <fill>
      <patternFill patternType="solid">
        <fgColor rgb="FF1F4E79"/>
      </patternFill>
    </fill>
    <fill>
      <patternFill patternType="solid">
        <fgColor rgb="FF2E74B5"/>
      </patternFill>
    </fill>
    <fill>
      <patternFill patternType="solid">
        <fgColor rgb="FFFFFFFF"/>
      </patternFill>
    </fill>
    <fill>
      <patternFill patternType="solid">
        <fgColor rgb="FF70AD47"/>
      </patternFill>
    </fill>
    <fill>
      <patternFill patternType="solid">
        <fgColor rgb="FFDCE6F1"/>
      </patternFill>
    </fill>
    <fill>
      <patternFill patternType="solid">
        <fgColor rgb="FFF2F2F2"/>
      </patternFill>
    </fill>
    <fill>
      <patternFill patternType="solid">
        <fgColor rgb="FFC00000"/>
      </patternFill>
    </fill>
    <fill>
      <patternFill patternType="solid">
        <fgColor rgb="FFFFC00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3" fillId="6" borderId="1" xfId="0" applyFont="1" applyFill="1" applyBorder="1" applyAlignment="1">
      <alignment horizontal="left" vertical="top" wrapText="1"/>
    </xf>
    <xf numFmtId="0" fontId="5"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6" fillId="2" borderId="1" xfId="0" applyFont="1" applyFill="1" applyBorder="1" applyAlignment="1">
      <alignment horizontal="center" vertical="center"/>
    </xf>
    <xf numFmtId="0" fontId="2" fillId="3" borderId="1" xfId="0" applyFont="1" applyFill="1" applyBorder="1" applyAlignment="1">
      <alignment horizontal="left" vertical="center" indent="1"/>
    </xf>
    <xf numFmtId="0" fontId="9" fillId="7" borderId="1" xfId="0" applyFont="1" applyFill="1" applyBorder="1" applyAlignment="1">
      <alignment horizontal="center" vertical="center"/>
    </xf>
    <xf numFmtId="0" fontId="2" fillId="5" borderId="1" xfId="0" applyFont="1" applyFill="1" applyBorder="1" applyAlignment="1">
      <alignment horizontal="left" vertical="center" indent="1"/>
    </xf>
    <xf numFmtId="0" fontId="2" fillId="8"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2" fillId="2" borderId="1" xfId="0" applyFont="1" applyFill="1" applyBorder="1" applyAlignment="1">
      <alignment horizontal="left" vertical="center" indent="1"/>
    </xf>
    <xf numFmtId="164" fontId="9" fillId="7" borderId="1" xfId="0" applyNumberFormat="1" applyFont="1" applyFill="1" applyBorder="1" applyAlignment="1">
      <alignment horizontal="center" vertical="center"/>
    </xf>
    <xf numFmtId="0" fontId="6" fillId="2" borderId="1" xfId="0" applyFont="1" applyFill="1" applyBorder="1" applyAlignment="1">
      <alignment horizontal="right" vertical="center"/>
    </xf>
    <xf numFmtId="0" fontId="0" fillId="0" borderId="0" xfId="0"/>
    <xf numFmtId="0" fontId="1" fillId="2" borderId="0" xfId="0" applyFont="1" applyFill="1" applyAlignment="1">
      <alignment horizontal="center" vertical="center"/>
    </xf>
    <xf numFmtId="0" fontId="8"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guyễn Văn Vũ" id="{26933F10-CE84-5043-A248-F15DBD1C88DF}" userId="S::nvu@mso.hcmus.edu.vn::38331d5d-a5e4-4332-9a47-7d2c40ec30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 dT="2026-04-13T09:01:41.34" personId="{26933F10-CE84-5043-A248-F15DBD1C88DF}" id="{350D14E9-056D-2947-8E64-6D57421F2AEE}">
    <text xml:space="preserve">Passed, Failed, Pending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pane ySplit="3" topLeftCell="A4" activePane="bottomLeft" state="frozen"/>
      <selection pane="bottomLeft" activeCell="G5" sqref="G5"/>
    </sheetView>
  </sheetViews>
  <sheetFormatPr baseColWidth="10" defaultColWidth="8.83203125" defaultRowHeight="15" x14ac:dyDescent="0.2"/>
  <cols>
    <col min="1" max="1" width="14" customWidth="1"/>
    <col min="2" max="2" width="22" customWidth="1"/>
    <col min="3" max="3" width="38" customWidth="1"/>
    <col min="4" max="4" width="34" customWidth="1"/>
    <col min="5" max="5" width="48" customWidth="1"/>
    <col min="6" max="6" width="42" customWidth="1"/>
    <col min="7" max="7" width="11.6640625" bestFit="1" customWidth="1"/>
    <col min="8" max="8" width="12" customWidth="1"/>
  </cols>
  <sheetData>
    <row r="1" spans="1:8" ht="36" customHeight="1" x14ac:dyDescent="0.2">
      <c r="A1" s="20" t="s">
        <v>0</v>
      </c>
      <c r="B1" s="19"/>
      <c r="C1" s="19"/>
      <c r="D1" s="19"/>
      <c r="E1" s="19"/>
      <c r="F1" s="19"/>
      <c r="G1" s="19"/>
      <c r="H1" s="19"/>
    </row>
    <row r="3" spans="1:8" ht="30" customHeight="1" x14ac:dyDescent="0.2">
      <c r="A3" s="1" t="s">
        <v>1</v>
      </c>
      <c r="B3" s="1" t="s">
        <v>2</v>
      </c>
      <c r="C3" s="1" t="s">
        <v>3</v>
      </c>
      <c r="D3" s="1" t="s">
        <v>4</v>
      </c>
      <c r="E3" s="1" t="s">
        <v>5</v>
      </c>
      <c r="F3" s="1" t="s">
        <v>6</v>
      </c>
      <c r="G3" s="1" t="s">
        <v>44</v>
      </c>
      <c r="H3" s="1" t="s">
        <v>7</v>
      </c>
    </row>
    <row r="4" spans="1:8" ht="90" customHeight="1" x14ac:dyDescent="0.2">
      <c r="A4" s="2" t="s">
        <v>8</v>
      </c>
      <c r="B4" s="3" t="s">
        <v>9</v>
      </c>
      <c r="C4" s="3" t="s">
        <v>10</v>
      </c>
      <c r="D4" s="3" t="s">
        <v>11</v>
      </c>
      <c r="E4" s="3" t="s">
        <v>12</v>
      </c>
      <c r="F4" s="3" t="s">
        <v>13</v>
      </c>
      <c r="G4" s="4"/>
      <c r="H4" s="5"/>
    </row>
    <row r="5" spans="1:8" ht="90" customHeight="1" x14ac:dyDescent="0.2">
      <c r="A5" s="6" t="s">
        <v>14</v>
      </c>
      <c r="B5" s="7" t="s">
        <v>15</v>
      </c>
      <c r="C5" s="7" t="s">
        <v>16</v>
      </c>
      <c r="D5" s="7" t="s">
        <v>17</v>
      </c>
      <c r="E5" s="7" t="s">
        <v>18</v>
      </c>
      <c r="F5" s="7" t="s">
        <v>19</v>
      </c>
      <c r="G5" s="8"/>
      <c r="H5" s="5"/>
    </row>
    <row r="6" spans="1:8" ht="96" customHeight="1" x14ac:dyDescent="0.2">
      <c r="A6" s="2" t="s">
        <v>20</v>
      </c>
      <c r="B6" s="3" t="s">
        <v>21</v>
      </c>
      <c r="C6" s="3" t="s">
        <v>22</v>
      </c>
      <c r="D6" s="3" t="s">
        <v>23</v>
      </c>
      <c r="E6" s="3" t="s">
        <v>24</v>
      </c>
      <c r="F6" s="3" t="s">
        <v>25</v>
      </c>
      <c r="G6" s="4"/>
      <c r="H6" s="5"/>
    </row>
    <row r="7" spans="1:8" ht="98" customHeight="1" x14ac:dyDescent="0.2">
      <c r="A7" s="6" t="s">
        <v>26</v>
      </c>
      <c r="B7" s="7" t="s">
        <v>27</v>
      </c>
      <c r="C7" s="7" t="s">
        <v>28</v>
      </c>
      <c r="D7" s="7" t="s">
        <v>29</v>
      </c>
      <c r="E7" s="7" t="s">
        <v>30</v>
      </c>
      <c r="F7" s="7" t="s">
        <v>31</v>
      </c>
      <c r="G7" s="9"/>
      <c r="H7" s="5"/>
    </row>
    <row r="8" spans="1:8" ht="90" customHeight="1" x14ac:dyDescent="0.2">
      <c r="A8" s="2" t="s">
        <v>32</v>
      </c>
      <c r="B8" s="3" t="s">
        <v>33</v>
      </c>
      <c r="C8" s="3" t="s">
        <v>34</v>
      </c>
      <c r="D8" s="3" t="s">
        <v>35</v>
      </c>
      <c r="E8" s="3" t="s">
        <v>36</v>
      </c>
      <c r="F8" s="3" t="s">
        <v>37</v>
      </c>
      <c r="G8" s="4"/>
      <c r="H8" s="5"/>
    </row>
    <row r="9" spans="1:8" ht="22" customHeight="1" x14ac:dyDescent="0.2">
      <c r="A9" s="18" t="s">
        <v>38</v>
      </c>
      <c r="B9" s="19"/>
      <c r="C9" s="19"/>
      <c r="D9" s="19"/>
      <c r="E9" s="19"/>
      <c r="F9" s="19"/>
      <c r="G9" s="10">
        <f>COUNTA(A4:A8)</f>
        <v>5</v>
      </c>
      <c r="H9" s="5">
        <f>COUNTIF(H4:H8,"Pass")</f>
        <v>0</v>
      </c>
    </row>
  </sheetData>
  <mergeCells count="2">
    <mergeCell ref="A9:F9"/>
    <mergeCell ref="A1:H1"/>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8"/>
  <sheetViews>
    <sheetView showGridLines="0" workbookViewId="0">
      <selection activeCell="B5" sqref="B5"/>
    </sheetView>
  </sheetViews>
  <sheetFormatPr baseColWidth="10" defaultColWidth="8.83203125" defaultRowHeight="15" x14ac:dyDescent="0.2"/>
  <cols>
    <col min="1" max="1" width="3" customWidth="1"/>
    <col min="2" max="2" width="24" customWidth="1"/>
    <col min="3" max="3" width="14" customWidth="1"/>
  </cols>
  <sheetData>
    <row r="2" spans="2:5" ht="30" customHeight="1" x14ac:dyDescent="0.2">
      <c r="B2" s="21" t="s">
        <v>39</v>
      </c>
      <c r="C2" s="19"/>
      <c r="D2" s="19"/>
      <c r="E2" s="19"/>
    </row>
    <row r="4" spans="2:5" ht="26" customHeight="1" x14ac:dyDescent="0.2">
      <c r="B4" s="11" t="s">
        <v>38</v>
      </c>
      <c r="C4" s="12">
        <f>'Test Cases'!G9</f>
        <v>5</v>
      </c>
    </row>
    <row r="5" spans="2:5" ht="26" customHeight="1" x14ac:dyDescent="0.2">
      <c r="B5" s="13" t="s">
        <v>40</v>
      </c>
      <c r="C5" s="12">
        <f>COUNTIF('Test Cases'!H4:H8,"Pass")</f>
        <v>0</v>
      </c>
    </row>
    <row r="6" spans="2:5" ht="26" customHeight="1" x14ac:dyDescent="0.2">
      <c r="B6" s="14" t="s">
        <v>41</v>
      </c>
      <c r="C6" s="12">
        <f>COUNTIF('Test Cases'!H4:H8,"Fail")</f>
        <v>0</v>
      </c>
    </row>
    <row r="7" spans="2:5" ht="26" customHeight="1" x14ac:dyDescent="0.2">
      <c r="B7" s="15" t="s">
        <v>42</v>
      </c>
      <c r="C7" s="12">
        <f>COUNTIF('Test Cases'!H4:H8,"Pending")</f>
        <v>0</v>
      </c>
    </row>
    <row r="8" spans="2:5" ht="26" customHeight="1" x14ac:dyDescent="0.2">
      <c r="B8" s="16" t="s">
        <v>43</v>
      </c>
      <c r="C8" s="17" t="e">
        <f>COUNTIF('Test Cases'!H4:H8,"Pass")/COUNTA('Test Cases'!H4:H8)</f>
        <v>#DIV/0!</v>
      </c>
    </row>
  </sheetData>
  <mergeCells count="1">
    <mergeCell ref="B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Vũ</cp:lastModifiedBy>
  <dcterms:created xsi:type="dcterms:W3CDTF">2026-04-13T07:28:49Z</dcterms:created>
  <dcterms:modified xsi:type="dcterms:W3CDTF">2026-04-13T09:01:45Z</dcterms:modified>
</cp:coreProperties>
</file>